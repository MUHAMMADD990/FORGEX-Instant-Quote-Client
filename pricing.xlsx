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dejav\OneDrive\Desktop\FORGEX_Instant_Quote_Client_v3\FORGEX_Instant_Quote_Client\"/>
    </mc:Choice>
  </mc:AlternateContent>
  <xr:revisionPtr revIDLastSave="0" documentId="13_ncr:1_{89785994-2275-462D-8193-A9CE7B2F16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قص الليزر" sheetId="2" r:id="rId1"/>
    <sheet name="الطباعة 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D7" i="2" s="1"/>
  <c r="D10" i="2" s="1"/>
  <c r="B13" i="2" s="1"/>
  <c r="D13" i="2" s="1"/>
  <c r="B19" i="3"/>
  <c r="B18" i="3"/>
  <c r="B17" i="3"/>
  <c r="B20" i="3" l="1"/>
  <c r="B22" i="3" s="1"/>
</calcChain>
</file>

<file path=xl/sharedStrings.xml><?xml version="1.0" encoding="utf-8"?>
<sst xmlns="http://schemas.openxmlformats.org/spreadsheetml/2006/main" count="41" uniqueCount="41">
  <si>
    <t>البند</t>
  </si>
  <si>
    <t>القيمة</t>
  </si>
  <si>
    <t>الوحدة</t>
  </si>
  <si>
    <t>جنيه/ساعة</t>
  </si>
  <si>
    <t>%</t>
  </si>
  <si>
    <t>جنيه/شغلانة</t>
  </si>
  <si>
    <t>هامش الربح المطلوب</t>
  </si>
  <si>
    <t>ساعة</t>
  </si>
  <si>
    <t>الكمية المطلوبة</t>
  </si>
  <si>
    <t>قطعة</t>
  </si>
  <si>
    <t>النتيجة</t>
  </si>
  <si>
    <t>السعر الإجمالي المقترح للعميل</t>
  </si>
  <si>
    <t>أسعار وتكاليف أساسية</t>
  </si>
  <si>
    <t>سعر خامة الطباعة للجرام</t>
  </si>
  <si>
    <t>جنيه/جرام</t>
  </si>
  <si>
    <t>سعر ساعة الماكينة (كهرباء + إهلاك + صيانة)</t>
  </si>
  <si>
    <t>تكلفة ما بعد المعالجة (تنظيف/دعامات/تشطيب) للقطعة</t>
  </si>
  <si>
    <t>جنيه/قطعة</t>
  </si>
  <si>
    <t>رسوم تجهيز الملف/التقطيع (لكل شغلانة)</t>
  </si>
  <si>
    <t>بيانات الشغلانة الحالية</t>
  </si>
  <si>
    <t>جرام</t>
  </si>
  <si>
    <t>زمن طباعة القطعة الواحدة</t>
  </si>
  <si>
    <t>إجمالي تكلفة الخامة</t>
  </si>
  <si>
    <t>إجمالي تكلفة زمن الطباعة</t>
  </si>
  <si>
    <t>إجمالي تكلفة ما بعد المعالجة</t>
  </si>
  <si>
    <t>إجمالي التكلفة</t>
  </si>
  <si>
    <t>مقاسات اللوح</t>
  </si>
  <si>
    <t xml:space="preserve"> سعر اللوح</t>
  </si>
  <si>
    <t>السعر للسم</t>
  </si>
  <si>
    <t>الارتفاع</t>
  </si>
  <si>
    <t>العرض</t>
  </si>
  <si>
    <t>سعر الخام</t>
  </si>
  <si>
    <t>سعر الساعه</t>
  </si>
  <si>
    <t>وقت التشغيل</t>
  </si>
  <si>
    <t>سعر التكلفة</t>
  </si>
  <si>
    <t>نسبة الربح</t>
  </si>
  <si>
    <t>سعر البيع بالجمله</t>
  </si>
  <si>
    <t xml:space="preserve">القطاعي </t>
  </si>
  <si>
    <t>التسعير للقطاعي</t>
  </si>
  <si>
    <t>الطباعة ثلاثية الأبعاد  —  حاسبة التسعير</t>
  </si>
  <si>
    <t>وزن القطعة الواحدة (شامل السبورتات)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</si>
</sst>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&quot; EGP&quot;"/>
    <numFmt numFmtId="165" formatCode="0.00&quot; ساعة&quot;"/>
  </numFmts>
  <fonts count="20" x14ac:knownFonts="1">
    <font>
      <sz val="11"/>
      <name val="Calibri"/>
      <scheme val="minor"/>
    </font>
    <font>
      <b/>
      <sz val="11"/>
      <color rgb="FFFFFFFF"/>
      <name val="Arial"/>
    </font>
    <font>
      <sz val="11"/>
      <name val="Calibri"/>
    </font>
    <font>
      <b/>
      <sz val="11"/>
      <color rgb="FF292929"/>
      <name val="Arial"/>
    </font>
    <font>
      <i/>
      <sz val="9"/>
      <color rgb="FF666666"/>
      <name val="Arial"/>
    </font>
    <font>
      <sz val="11"/>
      <name val="Calibri"/>
      <scheme val="minor"/>
    </font>
    <font>
      <sz val="11"/>
      <color theme="1"/>
      <name val="Calibri"/>
      <family val="2"/>
    </font>
    <font>
      <b/>
      <sz val="11"/>
      <color rgb="FFFFFFFF"/>
      <name val="Arial"/>
      <family val="2"/>
    </font>
    <font>
      <b/>
      <sz val="11"/>
      <name val="Calibri"/>
      <family val="2"/>
      <scheme val="minor"/>
    </font>
    <font>
      <b/>
      <sz val="11"/>
      <color rgb="FF292929"/>
      <name val="Arial"/>
      <family val="2"/>
    </font>
    <font>
      <b/>
      <sz val="20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Calibri"/>
      <family val="2"/>
    </font>
    <font>
      <b/>
      <sz val="11"/>
      <color theme="1"/>
      <name val="Calibri"/>
      <family val="2"/>
    </font>
    <font>
      <b/>
      <sz val="18"/>
      <color theme="0"/>
      <name val="Stencil"/>
      <family val="5"/>
    </font>
    <font>
      <b/>
      <sz val="28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rgb="FFFFFF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5121B"/>
        <bgColor rgb="FFB5121B"/>
      </patternFill>
    </fill>
    <fill>
      <patternFill patternType="solid">
        <fgColor rgb="FF292929"/>
        <bgColor rgb="FF292929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B5121B"/>
      </patternFill>
    </fill>
    <fill>
      <patternFill patternType="solid">
        <fgColor theme="1" tint="4.9989318521683403E-2"/>
        <bgColor rgb="FF8EAADB"/>
      </patternFill>
    </fill>
    <fill>
      <patternFill patternType="solid">
        <fgColor theme="1" tint="4.9989318521683403E-2"/>
        <bgColor rgb="FFFFC000"/>
      </patternFill>
    </fill>
    <fill>
      <patternFill patternType="solid">
        <fgColor theme="1" tint="4.9989318521683403E-2"/>
        <bgColor rgb="FFB4C6E7"/>
      </patternFill>
    </fill>
    <fill>
      <patternFill patternType="solid">
        <fgColor theme="1" tint="4.9989318521683403E-2"/>
        <bgColor rgb="FF00B050"/>
      </patternFill>
    </fill>
    <fill>
      <patternFill patternType="solid">
        <fgColor theme="1" tint="4.9989318521683403E-2"/>
        <bgColor rgb="FF92D050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5121B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rgb="FF292929"/>
      </patternFill>
    </fill>
    <fill>
      <patternFill patternType="solid">
        <fgColor theme="0"/>
        <bgColor rgb="FFFFF2CC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CCCCCC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medium">
        <color indexed="64"/>
      </right>
      <top style="thin">
        <color rgb="FFCCCCCC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indexed="64"/>
      </left>
      <right/>
      <top/>
      <bottom style="thin">
        <color rgb="FFCCCCCC"/>
      </bottom>
      <diagonal/>
    </border>
    <border>
      <left/>
      <right style="medium">
        <color indexed="64"/>
      </right>
      <top/>
      <bottom style="thin">
        <color rgb="FFCCCCCC"/>
      </bottom>
      <diagonal/>
    </border>
    <border>
      <left style="thin">
        <color rgb="FFCCCCCC"/>
      </left>
      <right/>
      <top/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02">
    <xf numFmtId="0" fontId="0" fillId="0" borderId="0" xfId="0"/>
    <xf numFmtId="0" fontId="2" fillId="0" borderId="1" xfId="0" applyFont="1" applyBorder="1"/>
    <xf numFmtId="0" fontId="8" fillId="0" borderId="0" xfId="0" applyFont="1" applyAlignment="1">
      <alignment horizontal="center"/>
    </xf>
    <xf numFmtId="0" fontId="0" fillId="0" borderId="4" xfId="0" applyBorder="1"/>
    <xf numFmtId="0" fontId="9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/>
    </xf>
    <xf numFmtId="0" fontId="13" fillId="8" borderId="23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4" fillId="12" borderId="17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6" fillId="12" borderId="17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 vertical="center"/>
    </xf>
    <xf numFmtId="0" fontId="6" fillId="12" borderId="19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2" fillId="14" borderId="1" xfId="0" applyFont="1" applyFill="1" applyBorder="1"/>
    <xf numFmtId="0" fontId="1" fillId="4" borderId="15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4" fontId="17" fillId="2" borderId="32" xfId="0" applyNumberFormat="1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4" fontId="17" fillId="2" borderId="6" xfId="0" applyNumberFormat="1" applyFont="1" applyFill="1" applyBorder="1" applyAlignment="1">
      <alignment horizontal="center" vertical="center"/>
    </xf>
    <xf numFmtId="3" fontId="17" fillId="2" borderId="6" xfId="0" applyNumberFormat="1" applyFont="1" applyFill="1" applyBorder="1" applyAlignment="1">
      <alignment horizontal="center" vertical="center"/>
    </xf>
    <xf numFmtId="164" fontId="17" fillId="2" borderId="32" xfId="0" applyNumberFormat="1" applyFont="1" applyFill="1" applyBorder="1" applyAlignment="1">
      <alignment horizontal="center" vertical="center"/>
    </xf>
    <xf numFmtId="164" fontId="17" fillId="2" borderId="6" xfId="0" applyNumberFormat="1" applyFont="1" applyFill="1" applyBorder="1" applyAlignment="1">
      <alignment horizontal="center" vertical="center"/>
    </xf>
    <xf numFmtId="10" fontId="17" fillId="2" borderId="6" xfId="0" applyNumberFormat="1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3" fillId="11" borderId="29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31" xfId="0" applyFont="1" applyFill="1" applyBorder="1" applyAlignment="1">
      <alignment horizontal="center" vertical="center"/>
    </xf>
    <xf numFmtId="0" fontId="13" fillId="11" borderId="30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13" fillId="5" borderId="2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3" fillId="7" borderId="20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top"/>
    </xf>
    <xf numFmtId="0" fontId="15" fillId="5" borderId="12" xfId="0" applyFont="1" applyFill="1" applyBorder="1" applyAlignment="1">
      <alignment horizontal="center" vertical="top"/>
    </xf>
    <xf numFmtId="0" fontId="15" fillId="5" borderId="11" xfId="0" applyFont="1" applyFill="1" applyBorder="1" applyAlignment="1">
      <alignment horizontal="center" vertical="top"/>
    </xf>
    <xf numFmtId="0" fontId="13" fillId="10" borderId="26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2" fillId="5" borderId="9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64" fontId="11" fillId="6" borderId="10" xfId="0" applyNumberFormat="1" applyFont="1" applyFill="1" applyBorder="1" applyAlignment="1">
      <alignment horizontal="center" vertical="center"/>
    </xf>
    <xf numFmtId="164" fontId="11" fillId="6" borderId="11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64" fontId="9" fillId="15" borderId="4" xfId="0" applyNumberFormat="1" applyFont="1" applyFill="1" applyBorder="1" applyAlignment="1">
      <alignment horizontal="center" vertical="center"/>
    </xf>
    <xf numFmtId="164" fontId="9" fillId="15" borderId="5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right" vertical="center" wrapText="1"/>
    </xf>
    <xf numFmtId="164" fontId="17" fillId="17" borderId="1" xfId="0" applyNumberFormat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right" vertical="center" wrapText="1"/>
    </xf>
    <xf numFmtId="4" fontId="17" fillId="17" borderId="1" xfId="0" applyNumberFormat="1" applyFont="1" applyFill="1" applyBorder="1" applyAlignment="1">
      <alignment horizontal="center" vertical="center"/>
    </xf>
    <xf numFmtId="3" fontId="17" fillId="17" borderId="1" xfId="0" applyNumberFormat="1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164" fontId="17" fillId="13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/>
    </xf>
    <xf numFmtId="0" fontId="0" fillId="13" borderId="1" xfId="0" applyFill="1" applyBorder="1"/>
    <xf numFmtId="164" fontId="7" fillId="16" borderId="1" xfId="0" applyNumberFormat="1" applyFont="1" applyFill="1" applyBorder="1" applyAlignment="1">
      <alignment horizontal="center" vertical="center"/>
    </xf>
    <xf numFmtId="0" fontId="19" fillId="13" borderId="1" xfId="0" applyFont="1" applyFill="1" applyBorder="1"/>
    <xf numFmtId="0" fontId="17" fillId="17" borderId="1" xfId="1" applyNumberFormat="1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8" fillId="13" borderId="1" xfId="0" applyFont="1" applyFill="1" applyBorder="1"/>
    <xf numFmtId="0" fontId="17" fillId="13" borderId="1" xfId="0" applyFont="1" applyFill="1" applyBorder="1" applyAlignment="1">
      <alignment horizontal="center" vertical="center"/>
    </xf>
    <xf numFmtId="165" fontId="17" fillId="13" borderId="1" xfId="0" applyNumberFormat="1" applyFont="1" applyFill="1" applyBorder="1" applyAlignment="1">
      <alignment horizontal="center" vertical="center"/>
    </xf>
    <xf numFmtId="164" fontId="11" fillId="3" borderId="36" xfId="0" applyNumberFormat="1" applyFont="1" applyFill="1" applyBorder="1" applyAlignment="1"/>
    <xf numFmtId="164" fontId="11" fillId="3" borderId="8" xfId="0" applyNumberFormat="1" applyFont="1" applyFill="1" applyBorder="1" applyAlignment="1"/>
    <xf numFmtId="0" fontId="12" fillId="13" borderId="1" xfId="0" applyFont="1" applyFill="1" applyBorder="1" applyAlignment="1"/>
    <xf numFmtId="0" fontId="0" fillId="13" borderId="1" xfId="0" applyFill="1" applyBorder="1" applyAlignment="1"/>
    <xf numFmtId="0" fontId="8" fillId="13" borderId="1" xfId="0" applyFont="1" applyFill="1" applyBorder="1" applyAlignment="1"/>
    <xf numFmtId="0" fontId="16" fillId="14" borderId="1" xfId="0" applyFont="1" applyFill="1" applyBorder="1" applyAlignment="1">
      <alignment vertical="center"/>
    </xf>
    <xf numFmtId="0" fontId="19" fillId="13" borderId="1" xfId="0" applyFont="1" applyFill="1" applyBorder="1" applyAlignment="1"/>
    <xf numFmtId="0" fontId="12" fillId="13" borderId="1" xfId="0" applyFont="1" applyFill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2CC"/>
      <color rgb="FFFFC1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rightToLeft="1" tabSelected="1" zoomScale="85" zoomScaleNormal="85" workbookViewId="0">
      <selection activeCell="G6" sqref="G6"/>
    </sheetView>
  </sheetViews>
  <sheetFormatPr defaultColWidth="14.42578125" defaultRowHeight="15" customHeight="1" x14ac:dyDescent="0.25"/>
  <cols>
    <col min="1" max="1" width="16.85546875" customWidth="1"/>
    <col min="2" max="2" width="18" customWidth="1"/>
    <col min="3" max="3" width="18" style="2" customWidth="1"/>
    <col min="4" max="4" width="18" customWidth="1"/>
    <col min="5" max="5" width="12.5703125" bestFit="1" customWidth="1"/>
    <col min="6" max="6" width="14.28515625" bestFit="1" customWidth="1"/>
    <col min="7" max="8" width="12.42578125" bestFit="1" customWidth="1"/>
    <col min="9" max="11" width="8.7109375" customWidth="1"/>
  </cols>
  <sheetData>
    <row r="1" spans="1:5" ht="36" thickBot="1" x14ac:dyDescent="0.3">
      <c r="A1" s="99"/>
      <c r="B1" s="99"/>
      <c r="C1" s="99"/>
      <c r="D1" s="1"/>
      <c r="E1" s="1"/>
    </row>
    <row r="2" spans="1:5" ht="34.5" customHeight="1" thickBot="1" x14ac:dyDescent="0.3">
      <c r="A2" s="97"/>
      <c r="B2" s="47" t="s">
        <v>38</v>
      </c>
      <c r="C2" s="48"/>
      <c r="D2" s="48"/>
      <c r="E2" s="49"/>
    </row>
    <row r="3" spans="1:5" ht="34.5" customHeight="1" thickBot="1" x14ac:dyDescent="0.3">
      <c r="A3" s="75"/>
      <c r="B3" s="45" t="s">
        <v>26</v>
      </c>
      <c r="C3" s="46"/>
      <c r="D3" s="8" t="s">
        <v>27</v>
      </c>
      <c r="E3" s="9" t="s">
        <v>28</v>
      </c>
    </row>
    <row r="4" spans="1:5" ht="24.75" customHeight="1" thickBot="1" x14ac:dyDescent="0.35">
      <c r="A4" s="96"/>
      <c r="B4" s="16">
        <v>240</v>
      </c>
      <c r="C4" s="17">
        <v>120</v>
      </c>
      <c r="D4" s="17">
        <v>200</v>
      </c>
      <c r="E4" s="10">
        <f t="shared" ref="E4" si="0">D4/(C4*B4)</f>
        <v>6.9444444444444441E-3</v>
      </c>
    </row>
    <row r="5" spans="1:5" ht="15.75" thickBot="1" x14ac:dyDescent="0.3">
      <c r="A5" s="77"/>
      <c r="B5" s="52"/>
      <c r="C5" s="53"/>
      <c r="D5" s="53"/>
      <c r="E5" s="54"/>
    </row>
    <row r="6" spans="1:5" ht="19.5" thickBot="1" x14ac:dyDescent="0.3">
      <c r="A6" s="80"/>
      <c r="B6" s="11" t="s">
        <v>29</v>
      </c>
      <c r="C6" s="12" t="s">
        <v>30</v>
      </c>
      <c r="D6" s="50" t="s">
        <v>31</v>
      </c>
      <c r="E6" s="51"/>
    </row>
    <row r="7" spans="1:5" ht="15.75" thickBot="1" x14ac:dyDescent="0.3">
      <c r="A7" s="80"/>
      <c r="B7" s="18">
        <v>20</v>
      </c>
      <c r="C7" s="19">
        <v>20</v>
      </c>
      <c r="D7" s="32">
        <f>C7*B7*E4</f>
        <v>2.7777777777777777</v>
      </c>
      <c r="E7" s="33"/>
    </row>
    <row r="8" spans="1:5" ht="15.75" thickBot="1" x14ac:dyDescent="0.3">
      <c r="A8" s="80"/>
      <c r="B8" s="42"/>
      <c r="C8" s="43"/>
      <c r="D8" s="43"/>
      <c r="E8" s="44"/>
    </row>
    <row r="9" spans="1:5" ht="19.5" thickBot="1" x14ac:dyDescent="0.3">
      <c r="A9" s="83"/>
      <c r="B9" s="11" t="s">
        <v>32</v>
      </c>
      <c r="C9" s="12" t="s">
        <v>33</v>
      </c>
      <c r="D9" s="13" t="s">
        <v>34</v>
      </c>
      <c r="E9" s="14" t="s">
        <v>35</v>
      </c>
    </row>
    <row r="10" spans="1:5" ht="15" customHeight="1" thickBot="1" x14ac:dyDescent="0.3">
      <c r="A10" s="86"/>
      <c r="B10" s="18">
        <v>200</v>
      </c>
      <c r="C10" s="19">
        <v>30</v>
      </c>
      <c r="D10" s="15">
        <f>D7+((B10/60)*C10)</f>
        <v>102.77777777777777</v>
      </c>
      <c r="E10" s="20">
        <v>30</v>
      </c>
    </row>
    <row r="11" spans="1:5" ht="21" thickBot="1" x14ac:dyDescent="0.3">
      <c r="A11" s="101"/>
      <c r="B11" s="42"/>
      <c r="C11" s="43"/>
      <c r="D11" s="43"/>
      <c r="E11" s="44"/>
    </row>
    <row r="12" spans="1:5" ht="18.75" x14ac:dyDescent="0.25">
      <c r="A12" s="80"/>
      <c r="B12" s="34" t="s">
        <v>36</v>
      </c>
      <c r="C12" s="35"/>
      <c r="D12" s="38" t="s">
        <v>37</v>
      </c>
      <c r="E12" s="39"/>
    </row>
    <row r="13" spans="1:5" ht="19.5" thickBot="1" x14ac:dyDescent="0.3">
      <c r="A13" s="80"/>
      <c r="B13" s="36">
        <f>D10+((D10/100)*E10)</f>
        <v>133.61111111111109</v>
      </c>
      <c r="C13" s="37"/>
      <c r="D13" s="40">
        <f>B13+((B13/100)*15)</f>
        <v>153.65277777777774</v>
      </c>
      <c r="E13" s="41"/>
    </row>
    <row r="14" spans="1:5" x14ac:dyDescent="0.25">
      <c r="A14" s="83"/>
      <c r="B14" s="84"/>
      <c r="C14" s="85"/>
    </row>
    <row r="15" spans="1:5" x14ac:dyDescent="0.25">
      <c r="A15" s="77"/>
      <c r="B15" s="78"/>
      <c r="C15" s="79"/>
    </row>
    <row r="16" spans="1:5" x14ac:dyDescent="0.25">
      <c r="A16" s="80"/>
      <c r="B16" s="78"/>
      <c r="C16" s="79"/>
    </row>
    <row r="17" spans="1:3" x14ac:dyDescent="0.25">
      <c r="A17" s="80"/>
      <c r="B17" s="78"/>
      <c r="C17" s="79"/>
    </row>
    <row r="18" spans="1:3" x14ac:dyDescent="0.25">
      <c r="A18" s="83"/>
      <c r="B18" s="84"/>
      <c r="C18" s="85"/>
    </row>
    <row r="19" spans="1:3" x14ac:dyDescent="0.25">
      <c r="A19" s="76"/>
      <c r="B19" s="87"/>
      <c r="C19" s="85"/>
    </row>
    <row r="20" spans="1:3" x14ac:dyDescent="0.25">
      <c r="A20" s="88"/>
      <c r="B20" s="100"/>
      <c r="C20" s="100"/>
    </row>
    <row r="21" spans="1:3" ht="20.25" x14ac:dyDescent="0.3">
      <c r="A21" s="96"/>
      <c r="B21" s="96"/>
      <c r="C21" s="96"/>
    </row>
    <row r="22" spans="1:3" x14ac:dyDescent="0.25">
      <c r="A22" s="77"/>
      <c r="B22" s="89"/>
      <c r="C22" s="79"/>
    </row>
    <row r="23" spans="1:3" x14ac:dyDescent="0.25">
      <c r="A23" s="80"/>
      <c r="B23" s="90"/>
      <c r="C23" s="79"/>
    </row>
    <row r="24" spans="1:3" ht="21.75" customHeight="1" x14ac:dyDescent="0.25">
      <c r="A24" s="77"/>
      <c r="B24" s="90"/>
      <c r="C24" s="79"/>
    </row>
    <row r="25" spans="1:3" x14ac:dyDescent="0.25">
      <c r="A25" s="80"/>
      <c r="B25" s="90"/>
      <c r="C25" s="79"/>
    </row>
    <row r="26" spans="1:3" ht="15.75" customHeight="1" x14ac:dyDescent="0.25">
      <c r="A26" s="86"/>
      <c r="B26" s="97"/>
      <c r="C26" s="97"/>
    </row>
    <row r="27" spans="1:3" ht="20.25" x14ac:dyDescent="0.3">
      <c r="A27" s="96"/>
      <c r="B27" s="96"/>
      <c r="C27" s="96"/>
    </row>
    <row r="28" spans="1:3" x14ac:dyDescent="0.25">
      <c r="A28" s="77"/>
      <c r="B28" s="81"/>
      <c r="C28" s="79"/>
    </row>
    <row r="29" spans="1:3" ht="15.75" customHeight="1" x14ac:dyDescent="0.25">
      <c r="A29" s="91"/>
      <c r="B29" s="81"/>
      <c r="C29" s="79"/>
    </row>
    <row r="30" spans="1:3" ht="21" customHeight="1" x14ac:dyDescent="0.25">
      <c r="A30" s="91"/>
      <c r="B30" s="81"/>
      <c r="C30" s="79"/>
    </row>
    <row r="31" spans="1:3" x14ac:dyDescent="0.25">
      <c r="A31" s="80"/>
      <c r="B31" s="81"/>
      <c r="C31" s="79"/>
    </row>
    <row r="32" spans="1:3" ht="21" customHeight="1" x14ac:dyDescent="0.25">
      <c r="A32" s="80"/>
      <c r="B32" s="82"/>
      <c r="C32" s="79"/>
    </row>
    <row r="33" spans="1:3" ht="15.75" customHeight="1" x14ac:dyDescent="0.25">
      <c r="A33" s="86"/>
      <c r="B33" s="98"/>
      <c r="C33" s="98"/>
    </row>
    <row r="34" spans="1:3" ht="20.25" x14ac:dyDescent="0.3">
      <c r="A34" s="96"/>
      <c r="B34" s="96"/>
      <c r="C34" s="96"/>
    </row>
    <row r="35" spans="1:3" x14ac:dyDescent="0.25">
      <c r="A35" s="80"/>
      <c r="B35" s="84"/>
      <c r="C35" s="84"/>
    </row>
    <row r="36" spans="1:3" x14ac:dyDescent="0.25">
      <c r="A36" s="80"/>
      <c r="B36" s="92"/>
      <c r="C36" s="93"/>
    </row>
    <row r="37" spans="1:3" x14ac:dyDescent="0.25">
      <c r="A37" s="80"/>
      <c r="B37" s="84"/>
      <c r="C37" s="84"/>
    </row>
    <row r="38" spans="1:3" x14ac:dyDescent="0.25">
      <c r="A38" s="80"/>
      <c r="B38" s="84"/>
      <c r="C38" s="84"/>
    </row>
    <row r="39" spans="1:3" x14ac:dyDescent="0.25">
      <c r="A39" s="80"/>
      <c r="B39" s="84"/>
      <c r="C39" s="84"/>
    </row>
    <row r="40" spans="1:3" x14ac:dyDescent="0.25">
      <c r="A40" s="97"/>
      <c r="B40" s="97"/>
      <c r="C40" s="97"/>
    </row>
    <row r="41" spans="1:3" ht="5.25" customHeight="1" x14ac:dyDescent="0.25">
      <c r="A41" s="97"/>
      <c r="B41" s="97"/>
      <c r="C41" s="97"/>
    </row>
    <row r="42" spans="1:3" ht="27" thickBot="1" x14ac:dyDescent="0.35">
      <c r="A42" s="74"/>
      <c r="B42" s="94"/>
      <c r="C42" s="95"/>
    </row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1">
    <mergeCell ref="B3:C3"/>
    <mergeCell ref="B2:E2"/>
    <mergeCell ref="D6:E6"/>
    <mergeCell ref="B5:E5"/>
    <mergeCell ref="D7:E7"/>
    <mergeCell ref="B12:C12"/>
    <mergeCell ref="B13:C13"/>
    <mergeCell ref="D12:E12"/>
    <mergeCell ref="D13:E13"/>
    <mergeCell ref="B8:E8"/>
    <mergeCell ref="B11:E1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"/>
  <sheetViews>
    <sheetView rightToLeft="1" topLeftCell="A19" workbookViewId="0">
      <selection activeCell="A14" sqref="A14"/>
    </sheetView>
  </sheetViews>
  <sheetFormatPr defaultColWidth="14.42578125" defaultRowHeight="15" customHeight="1" x14ac:dyDescent="0.25"/>
  <cols>
    <col min="1" max="1" width="70.140625" customWidth="1"/>
    <col min="2" max="2" width="24.7109375" customWidth="1"/>
    <col min="3" max="3" width="26.140625" customWidth="1"/>
    <col min="4" max="4" width="17.85546875" customWidth="1"/>
    <col min="5" max="5" width="12.85546875" customWidth="1"/>
    <col min="6" max="11" width="8.7109375" customWidth="1"/>
  </cols>
  <sheetData>
    <row r="1" spans="1:5" ht="38.25" customHeight="1" thickBot="1" x14ac:dyDescent="0.3">
      <c r="A1" s="71" t="s">
        <v>39</v>
      </c>
      <c r="B1" s="72"/>
      <c r="C1" s="73"/>
      <c r="D1" s="22"/>
      <c r="E1" s="22"/>
    </row>
    <row r="2" spans="1:5" ht="15" customHeight="1" x14ac:dyDescent="0.25">
      <c r="A2" s="64"/>
      <c r="B2" s="65"/>
      <c r="C2" s="66"/>
    </row>
    <row r="3" spans="1:5" ht="15.75" thickBot="1" x14ac:dyDescent="0.3">
      <c r="A3" s="6" t="s">
        <v>0</v>
      </c>
      <c r="B3" s="7" t="s">
        <v>1</v>
      </c>
      <c r="C3" s="23" t="s">
        <v>2</v>
      </c>
    </row>
    <row r="4" spans="1:5" ht="27" customHeight="1" thickBot="1" x14ac:dyDescent="0.3">
      <c r="A4" s="57" t="s">
        <v>12</v>
      </c>
      <c r="B4" s="58"/>
      <c r="C4" s="59"/>
    </row>
    <row r="5" spans="1:5" x14ac:dyDescent="0.25">
      <c r="A5" s="4" t="s">
        <v>13</v>
      </c>
      <c r="B5" s="29">
        <v>2.5</v>
      </c>
      <c r="C5" s="26" t="s">
        <v>14</v>
      </c>
    </row>
    <row r="6" spans="1:5" x14ac:dyDescent="0.25">
      <c r="A6" s="5" t="s">
        <v>15</v>
      </c>
      <c r="B6" s="30">
        <v>50</v>
      </c>
      <c r="C6" s="26" t="s">
        <v>3</v>
      </c>
    </row>
    <row r="7" spans="1:5" x14ac:dyDescent="0.25">
      <c r="A7" s="5" t="s">
        <v>16</v>
      </c>
      <c r="B7" s="30">
        <v>20</v>
      </c>
      <c r="C7" s="26" t="s">
        <v>17</v>
      </c>
    </row>
    <row r="8" spans="1:5" x14ac:dyDescent="0.25">
      <c r="A8" s="5" t="s">
        <v>18</v>
      </c>
      <c r="B8" s="30">
        <v>0</v>
      </c>
      <c r="C8" s="26" t="s">
        <v>5</v>
      </c>
    </row>
    <row r="9" spans="1:5" x14ac:dyDescent="0.25">
      <c r="A9" s="5" t="s">
        <v>6</v>
      </c>
      <c r="B9" s="31">
        <v>0.3</v>
      </c>
      <c r="C9" s="26" t="s">
        <v>4</v>
      </c>
    </row>
    <row r="10" spans="1:5" ht="15" customHeight="1" thickBot="1" x14ac:dyDescent="0.3">
      <c r="A10" s="3"/>
      <c r="B10" s="69"/>
      <c r="C10" s="70"/>
    </row>
    <row r="11" spans="1:5" ht="27" customHeight="1" thickBot="1" x14ac:dyDescent="0.3">
      <c r="A11" s="57" t="s">
        <v>19</v>
      </c>
      <c r="B11" s="58"/>
      <c r="C11" s="59"/>
    </row>
    <row r="12" spans="1:5" x14ac:dyDescent="0.25">
      <c r="A12" s="4" t="s">
        <v>40</v>
      </c>
      <c r="B12" s="25">
        <v>0</v>
      </c>
      <c r="C12" s="26" t="s">
        <v>20</v>
      </c>
    </row>
    <row r="13" spans="1:5" x14ac:dyDescent="0.25">
      <c r="A13" s="5" t="s">
        <v>21</v>
      </c>
      <c r="B13" s="27">
        <v>0</v>
      </c>
      <c r="C13" s="26" t="s">
        <v>7</v>
      </c>
    </row>
    <row r="14" spans="1:5" x14ac:dyDescent="0.25">
      <c r="A14" s="5" t="s">
        <v>8</v>
      </c>
      <c r="B14" s="28">
        <v>0</v>
      </c>
      <c r="C14" s="26" t="s">
        <v>9</v>
      </c>
    </row>
    <row r="15" spans="1:5" ht="15" customHeight="1" thickBot="1" x14ac:dyDescent="0.3">
      <c r="A15" s="3"/>
      <c r="B15" s="55"/>
      <c r="C15" s="56"/>
    </row>
    <row r="16" spans="1:5" ht="27" customHeight="1" thickBot="1" x14ac:dyDescent="0.3">
      <c r="A16" s="57" t="s">
        <v>10</v>
      </c>
      <c r="B16" s="58"/>
      <c r="C16" s="59"/>
    </row>
    <row r="17" spans="1:3" x14ac:dyDescent="0.25">
      <c r="A17" s="5" t="s">
        <v>22</v>
      </c>
      <c r="B17" s="67">
        <f>B12*B5*B14</f>
        <v>0</v>
      </c>
      <c r="C17" s="68"/>
    </row>
    <row r="18" spans="1:3" x14ac:dyDescent="0.25">
      <c r="A18" s="5" t="s">
        <v>23</v>
      </c>
      <c r="B18" s="67">
        <f>B13*B6*B14</f>
        <v>0</v>
      </c>
      <c r="C18" s="68"/>
    </row>
    <row r="19" spans="1:3" x14ac:dyDescent="0.25">
      <c r="A19" s="5" t="s">
        <v>24</v>
      </c>
      <c r="B19" s="67">
        <f>B7*B14</f>
        <v>0</v>
      </c>
      <c r="C19" s="68"/>
    </row>
    <row r="20" spans="1:3" x14ac:dyDescent="0.25">
      <c r="A20" s="5" t="s">
        <v>25</v>
      </c>
      <c r="B20" s="67">
        <f>B17+B18+B19+B8</f>
        <v>0</v>
      </c>
      <c r="C20" s="68"/>
    </row>
    <row r="21" spans="1:3" ht="15.75" customHeight="1" thickBot="1" x14ac:dyDescent="0.3">
      <c r="A21" s="3"/>
      <c r="B21" s="60"/>
      <c r="C21" s="61"/>
    </row>
    <row r="22" spans="1:3" ht="32.25" customHeight="1" thickBot="1" x14ac:dyDescent="0.3">
      <c r="A22" s="24" t="s">
        <v>11</v>
      </c>
      <c r="B22" s="62">
        <f>B20*(1+B9)</f>
        <v>0</v>
      </c>
      <c r="C22" s="63"/>
    </row>
    <row r="23" spans="1:3" ht="15.75" customHeight="1" x14ac:dyDescent="0.25"/>
    <row r="24" spans="1:3" ht="15" customHeight="1" x14ac:dyDescent="0.25">
      <c r="A24" s="21"/>
    </row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3">
    <mergeCell ref="A1:C1"/>
    <mergeCell ref="A4:C4"/>
    <mergeCell ref="A11:C11"/>
    <mergeCell ref="A16:C16"/>
    <mergeCell ref="B22:C22"/>
    <mergeCell ref="A2:C2"/>
    <mergeCell ref="B17:C17"/>
    <mergeCell ref="B18:C18"/>
    <mergeCell ref="B19:C19"/>
    <mergeCell ref="B20:C20"/>
    <mergeCell ref="B10:C10"/>
    <mergeCell ref="B15:C15"/>
    <mergeCell ref="B21:C2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قص الليزر</vt:lpstr>
      <vt:lpstr>الطباعة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Ahmed</cp:lastModifiedBy>
  <cp:revision>0</cp:revision>
  <dcterms:created xsi:type="dcterms:W3CDTF">2026-08-29T22:08:51Z</dcterms:created>
  <dcterms:modified xsi:type="dcterms:W3CDTF">2026-09-19T09:30:43Z</dcterms:modified>
  <dc:language>en-US</dc:language>
</cp:coreProperties>
</file>